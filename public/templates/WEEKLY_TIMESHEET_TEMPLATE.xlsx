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8_{1499AB45-656F-47AB-BCAA-0C0ED62262DA}" xr6:coauthVersionLast="47" xr6:coauthVersionMax="47" xr10:uidLastSave="{00000000-0000-0000-0000-000000000000}"/>
  <bookViews>
    <workbookView xWindow="-108" yWindow="-108" windowWidth="23256" windowHeight="13896" tabRatio="478" xr2:uid="{00000000-000D-0000-FFFF-FFFF00000000}"/>
  </bookViews>
  <sheets>
    <sheet name="Weekly Time Record" sheetId="1" r:id="rId1"/>
  </sheets>
  <definedNames>
    <definedName name="_xlnm.Print_Titles" localSheetId="0">'Weekly Time Record'!$10:$10</definedName>
    <definedName name="RowTitleRegion1..C5">'Weekly Time Record'!$B$6</definedName>
    <definedName name="RowTitleRegion2..G4">'Weekly Time Record'!$G$6</definedName>
    <definedName name="RowTitleRegion3..H15">'Weekly Time Record'!$D$18</definedName>
    <definedName name="RowTitleRegion4..G16">'Weekly Time Record'!$D$19</definedName>
    <definedName name="RowTitleRegion5..H17">'Weekly Time Record'!$D$20</definedName>
    <definedName name="Title1">'Weekly Time Record'!$B$10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8" i="1" l="1"/>
  <c r="F20" i="1" s="1"/>
  <c r="G18" i="1"/>
  <c r="G20" i="1" s="1"/>
  <c r="H18" i="1"/>
  <c r="H20" i="1" s="1"/>
  <c r="E18" i="1"/>
  <c r="E20" i="1" s="1"/>
  <c r="D17" i="1" l="1"/>
  <c r="B17" i="1" s="1"/>
  <c r="D15" i="1" l="1"/>
  <c r="D16" i="1"/>
  <c r="B16" i="1" s="1"/>
  <c r="D11" i="1"/>
  <c r="B11" i="1" s="1"/>
  <c r="D14" i="1"/>
  <c r="B14" i="1" s="1"/>
  <c r="D12" i="1"/>
  <c r="B12" i="1" s="1"/>
  <c r="D13" i="1"/>
  <c r="B13" i="1" s="1"/>
  <c r="I15" i="1"/>
  <c r="I14" i="1"/>
  <c r="I13" i="1"/>
  <c r="I12" i="1"/>
  <c r="I17" i="1"/>
  <c r="I16" i="1"/>
  <c r="I18" i="1" l="1"/>
  <c r="I20" i="1" s="1"/>
  <c r="B15" i="1"/>
</calcChain>
</file>

<file path=xl/sharedStrings.xml><?xml version="1.0" encoding="utf-8"?>
<sst xmlns="http://schemas.openxmlformats.org/spreadsheetml/2006/main" count="23" uniqueCount="21">
  <si>
    <t>DAY</t>
  </si>
  <si>
    <t>DATE</t>
  </si>
  <si>
    <t>TOTAL</t>
  </si>
  <si>
    <r>
      <t xml:space="preserve">WEEKLY </t>
    </r>
    <r>
      <rPr>
        <sz val="36"/>
        <color theme="1" tint="0.249977111117893"/>
        <rFont val="Century Gothic"/>
        <family val="2"/>
        <scheme val="major"/>
      </rPr>
      <t>TIME RECORD</t>
    </r>
  </si>
  <si>
    <t>EMPLOYEE E-MAIL:</t>
  </si>
  <si>
    <t>WEEK ENDING:</t>
  </si>
  <si>
    <t>MANAGER:</t>
  </si>
  <si>
    <t>EMPLOYEE:</t>
  </si>
  <si>
    <t xml:space="preserve"> </t>
  </si>
  <si>
    <t>TOTAL HOURS</t>
  </si>
  <si>
    <t>RATE PER HOUR</t>
  </si>
  <si>
    <t>TOTAL PAY</t>
  </si>
  <si>
    <t>EMPLOYEE SIGNATURE</t>
  </si>
  <si>
    <t>MANAGER SIGNATURE</t>
  </si>
  <si>
    <t>D RAMOS ENTERPRISES LLC</t>
  </si>
  <si>
    <t>CAROLINA ESTRELLA</t>
  </si>
  <si>
    <t>JOB SITE</t>
  </si>
  <si>
    <t>AMOUNT</t>
  </si>
  <si>
    <t>Column1</t>
  </si>
  <si>
    <t>Column2</t>
  </si>
  <si>
    <t>EMPLOYEE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</si>
</sst>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(* #,##0_);_(* \(#,##0\);_(* &quot;-&quot;_);_(@_)"/>
    <numFmt numFmtId="164" formatCode="&quot;$&quot;#,##0.00"/>
    <numFmt numFmtId="165" formatCode="[&lt;=9999999]###\-####;\(###\)\ ###\-####"/>
    <numFmt numFmtId="166" formatCode="&quot;$&quot;#,##0"/>
  </numFmts>
  <fonts count="22" x14ac:knownFonts="1">
    <font>
      <sz val="11"/>
      <name val="Century Gothic"/>
      <family val="2"/>
      <scheme val="minor"/>
    </font>
    <font>
      <sz val="11"/>
      <color theme="1"/>
      <name val="Century Gothic"/>
      <family val="2"/>
      <scheme val="minor"/>
    </font>
    <font>
      <sz val="11"/>
      <name val="Century Gothic"/>
      <family val="2"/>
      <scheme val="minor"/>
    </font>
    <font>
      <b/>
      <sz val="22"/>
      <color theme="1" tint="0.24994659260841701"/>
      <name val="Century Gothic"/>
      <family val="2"/>
      <scheme val="minor"/>
    </font>
    <font>
      <b/>
      <sz val="11"/>
      <name val="Century Gothic"/>
      <family val="2"/>
      <scheme val="minor"/>
    </font>
    <font>
      <sz val="11"/>
      <name val="Century Gothic"/>
      <family val="2"/>
      <scheme val="major"/>
    </font>
    <font>
      <b/>
      <sz val="22"/>
      <color theme="1" tint="0.24994659260841701"/>
      <name val="Century Gothic"/>
      <family val="2"/>
      <scheme val="major"/>
    </font>
    <font>
      <sz val="10"/>
      <name val="Century Gothic"/>
      <family val="2"/>
      <scheme val="minor"/>
    </font>
    <font>
      <b/>
      <sz val="10"/>
      <name val="Century Gothic"/>
      <family val="2"/>
      <scheme val="minor"/>
    </font>
    <font>
      <b/>
      <sz val="20"/>
      <color theme="1" tint="0.24994659260841701"/>
      <name val="Century Gothic"/>
      <family val="2"/>
      <scheme val="minor"/>
    </font>
    <font>
      <b/>
      <sz val="36"/>
      <color theme="1" tint="0.249977111117893"/>
      <name val="Century Gothic"/>
      <family val="2"/>
      <scheme val="major"/>
    </font>
    <font>
      <sz val="36"/>
      <color theme="1" tint="0.249977111117893"/>
      <name val="Century Gothic"/>
      <family val="2"/>
      <scheme val="major"/>
    </font>
    <font>
      <sz val="10"/>
      <color theme="1" tint="0.14999847407452621"/>
      <name val="Century Gothic"/>
      <family val="2"/>
      <scheme val="minor"/>
    </font>
    <font>
      <b/>
      <sz val="12"/>
      <name val="Century Gothic"/>
      <family val="2"/>
      <scheme val="minor"/>
    </font>
    <font>
      <b/>
      <sz val="18"/>
      <color theme="1" tint="0.249977111117893"/>
      <name val="Century Gothic"/>
      <family val="2"/>
      <scheme val="minor"/>
    </font>
    <font>
      <sz val="12"/>
      <color theme="1" tint="0.14999847407452621"/>
      <name val="Century Gothic"/>
      <family val="2"/>
      <scheme val="minor"/>
    </font>
    <font>
      <b/>
      <sz val="12"/>
      <color theme="1" tint="0.14999847407452621"/>
      <name val="Century Gothic"/>
      <family val="2"/>
      <scheme val="minor"/>
    </font>
    <font>
      <sz val="12"/>
      <color theme="1" tint="0.14999847407452621"/>
      <name val="Century Gothic"/>
      <family val="2"/>
      <scheme val="major"/>
    </font>
    <font>
      <sz val="11"/>
      <color theme="1" tint="0.14999847407452621"/>
      <name val="Century Gothic"/>
      <family val="2"/>
      <scheme val="minor"/>
    </font>
    <font>
      <b/>
      <sz val="11"/>
      <color theme="1" tint="0.14999847407452621"/>
      <name val="Century Gothic"/>
      <family val="2"/>
      <scheme val="minor"/>
    </font>
    <font>
      <sz val="11"/>
      <color theme="4"/>
      <name val="Century Gothic"/>
      <family val="2"/>
      <scheme val="minor"/>
    </font>
    <font>
      <b/>
      <sz val="10"/>
      <color theme="1" tint="0.14999847407452621"/>
      <name val="Century Gothic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8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8" tint="0.39997558519241921"/>
      </right>
      <top/>
      <bottom/>
      <diagonal/>
    </border>
    <border>
      <left/>
      <right/>
      <top/>
      <bottom style="thin">
        <color theme="8" tint="0.39997558519241921"/>
      </bottom>
      <diagonal/>
    </border>
    <border>
      <left style="thin">
        <color theme="8" tint="0.39997558519241921"/>
      </left>
      <right/>
      <top/>
      <bottom/>
      <diagonal/>
    </border>
    <border>
      <left style="thin">
        <color theme="8" tint="0.39997558519241921"/>
      </left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/>
      <top/>
      <bottom style="thin">
        <color theme="1" tint="0.14999847407452621"/>
      </bottom>
      <diagonal/>
    </border>
    <border>
      <left/>
      <right/>
      <top style="thin">
        <color theme="1" tint="0.14999847407452621"/>
      </top>
      <bottom style="thin">
        <color theme="1" tint="0.149998474074526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theme="8" tint="0.39997558519241921"/>
      </left>
      <right style="thin">
        <color theme="8" tint="0.39997558519241921"/>
      </right>
      <top/>
      <bottom/>
      <diagonal/>
    </border>
    <border>
      <left style="thin">
        <color theme="8" tint="0.39997558519241921"/>
      </left>
      <right style="thin">
        <color theme="8" tint="0.39997558519241921"/>
      </right>
      <top/>
      <bottom style="thin">
        <color theme="8" tint="0.39997558519241921"/>
      </bottom>
      <diagonal/>
    </border>
    <border>
      <left/>
      <right/>
      <top style="thin">
        <color theme="1" tint="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auto="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 style="thin">
        <color theme="8" tint="0.39997558519241921"/>
      </left>
      <right/>
      <top style="thin">
        <color auto="1"/>
      </top>
      <bottom/>
      <diagonal/>
    </border>
    <border>
      <left style="thin">
        <color theme="8" tint="0.39997558519241921"/>
      </left>
      <right style="thin">
        <color auto="1"/>
      </right>
      <top style="thin">
        <color theme="8" tint="0.39997558519241921"/>
      </top>
      <bottom/>
      <diagonal/>
    </border>
    <border>
      <left style="thin">
        <color theme="8" tint="0.79998168889431442"/>
      </left>
      <right/>
      <top style="thin">
        <color theme="8" tint="0.39997558519241921"/>
      </top>
      <bottom/>
      <diagonal/>
    </border>
    <border>
      <left style="thin">
        <color theme="8" tint="0.39997558519241921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theme="8" tint="0.79998168889431442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auto="1"/>
      </bottom>
      <diagonal/>
    </border>
  </borders>
  <cellStyleXfs count="19">
    <xf numFmtId="0" fontId="0" fillId="0" borderId="0" applyFill="0" applyBorder="0">
      <alignment horizontal="left" vertical="center" wrapText="1" indent="1"/>
    </xf>
    <xf numFmtId="164" fontId="2" fillId="0" borderId="0" applyFill="0" applyBorder="0" applyProtection="0">
      <alignment horizontal="right" vertical="center" indent="1"/>
    </xf>
    <xf numFmtId="2" fontId="2" fillId="0" borderId="0" applyFont="0" applyFill="0" applyBorder="0" applyProtection="0">
      <alignment horizontal="right" vertical="center" indent="1"/>
    </xf>
    <xf numFmtId="41" fontId="2" fillId="0" borderId="0" applyFont="0" applyFill="0" applyBorder="0" applyAlignment="0" applyProtection="0"/>
    <xf numFmtId="166" fontId="2" fillId="2" borderId="1" applyProtection="0">
      <alignment horizontal="right" vertical="center" indent="1"/>
    </xf>
    <xf numFmtId="9" fontId="2" fillId="0" borderId="0" applyFont="0" applyFill="0" applyBorder="0" applyAlignment="0" applyProtection="0"/>
    <xf numFmtId="0" fontId="6" fillId="0" borderId="0" applyNumberFormat="0" applyFill="0" applyBorder="0" applyProtection="0">
      <alignment horizontal="right"/>
    </xf>
    <xf numFmtId="0" fontId="3" fillId="0" borderId="0" applyNumberFormat="0" applyFill="0" applyBorder="0" applyProtection="0">
      <alignment horizontal="left" vertical="center"/>
    </xf>
    <xf numFmtId="0" fontId="4" fillId="4" borderId="1" applyNumberFormat="0" applyProtection="0">
      <alignment horizontal="left" vertical="center" indent="1"/>
    </xf>
    <xf numFmtId="0" fontId="2" fillId="0" borderId="0" applyNumberFormat="0" applyFill="0" applyBorder="0" applyProtection="0">
      <alignment horizontal="left"/>
    </xf>
    <xf numFmtId="0" fontId="2" fillId="0" borderId="0" applyNumberFormat="0" applyFill="0" applyBorder="0" applyProtection="0">
      <alignment horizontal="right" indent="1"/>
    </xf>
    <xf numFmtId="2" fontId="4" fillId="2" borderId="1" applyProtection="0">
      <alignment horizontal="right" vertical="center" indent="1"/>
    </xf>
    <xf numFmtId="0" fontId="1" fillId="3" borderId="1" applyNumberFormat="0" applyAlignment="0" applyProtection="0"/>
    <xf numFmtId="14" fontId="2" fillId="2" borderId="0" applyFont="0" applyFill="0" applyBorder="0" applyAlignment="0">
      <alignment horizontal="left" vertical="center" indent="1"/>
    </xf>
    <xf numFmtId="165" fontId="2" fillId="0" borderId="0" applyFont="0" applyFill="0" applyBorder="0" applyAlignment="0"/>
    <xf numFmtId="0" fontId="5" fillId="0" borderId="0" applyNumberFormat="0" applyFill="0" applyBorder="0" applyProtection="0">
      <alignment horizontal="left" wrapText="1"/>
    </xf>
    <xf numFmtId="0" fontId="2" fillId="0" borderId="0" applyNumberFormat="0" applyFill="0" applyBorder="0" applyProtection="0">
      <alignment horizontal="left" wrapText="1"/>
    </xf>
    <xf numFmtId="0" fontId="2" fillId="0" borderId="2" applyNumberFormat="0" applyFont="0" applyFill="0" applyProtection="0">
      <alignment horizontal="left" wrapText="1"/>
    </xf>
    <xf numFmtId="0" fontId="2" fillId="0" borderId="0" applyNumberFormat="0" applyFill="0" applyBorder="0" applyProtection="0">
      <alignment vertical="center"/>
    </xf>
  </cellStyleXfs>
  <cellXfs count="72">
    <xf numFmtId="0" fontId="0" fillId="0" borderId="0" xfId="0">
      <alignment horizontal="left" vertical="center" wrapText="1" indent="1"/>
    </xf>
    <xf numFmtId="0" fontId="0" fillId="0" borderId="0" xfId="0" applyAlignment="1">
      <alignment horizontal="left" wrapText="1" indent="1"/>
    </xf>
    <xf numFmtId="0" fontId="0" fillId="0" borderId="0" xfId="0" applyFill="1">
      <alignment horizontal="left" vertical="center" wrapText="1" indent="1"/>
    </xf>
    <xf numFmtId="0" fontId="0" fillId="0" borderId="0" xfId="0" applyBorder="1">
      <alignment horizontal="left" vertical="center" wrapText="1" indent="1"/>
    </xf>
    <xf numFmtId="0" fontId="0" fillId="6" borderId="0" xfId="0" applyFill="1">
      <alignment horizontal="left" vertical="center" wrapText="1" indent="1"/>
    </xf>
    <xf numFmtId="0" fontId="0" fillId="6" borderId="0" xfId="0" applyFill="1" applyBorder="1">
      <alignment horizontal="left" vertical="center" wrapText="1" indent="1"/>
    </xf>
    <xf numFmtId="0" fontId="0" fillId="6" borderId="0" xfId="0" applyFill="1" applyAlignment="1">
      <alignment horizontal="left" wrapText="1" indent="1"/>
    </xf>
    <xf numFmtId="0" fontId="14" fillId="6" borderId="0" xfId="7" applyFont="1" applyFill="1" applyAlignment="1">
      <alignment vertical="top"/>
    </xf>
    <xf numFmtId="0" fontId="14" fillId="6" borderId="0" xfId="7" applyFont="1" applyFill="1" applyBorder="1" applyAlignment="1">
      <alignment vertical="top"/>
    </xf>
    <xf numFmtId="0" fontId="0" fillId="6" borderId="0" xfId="0" applyFill="1" applyAlignment="1">
      <alignment horizontal="left" vertical="top" wrapText="1"/>
    </xf>
    <xf numFmtId="0" fontId="0" fillId="6" borderId="0" xfId="0" applyFill="1" applyAlignment="1">
      <alignment horizontal="left" wrapText="1"/>
    </xf>
    <xf numFmtId="0" fontId="8" fillId="6" borderId="0" xfId="9" applyFont="1" applyFill="1">
      <alignment horizontal="left"/>
    </xf>
    <xf numFmtId="0" fontId="9" fillId="6" borderId="0" xfId="7" applyFont="1" applyFill="1" applyAlignment="1"/>
    <xf numFmtId="0" fontId="9" fillId="6" borderId="0" xfId="7" applyFont="1" applyFill="1" applyBorder="1" applyAlignment="1"/>
    <xf numFmtId="0" fontId="13" fillId="6" borderId="0" xfId="9" applyFont="1" applyFill="1" applyBorder="1" applyAlignment="1"/>
    <xf numFmtId="0" fontId="7" fillId="6" borderId="0" xfId="0" applyFont="1" applyFill="1" applyAlignment="1">
      <alignment horizontal="left" wrapText="1"/>
    </xf>
    <xf numFmtId="0" fontId="13" fillId="6" borderId="0" xfId="9" applyFont="1" applyFill="1" applyAlignment="1">
      <alignment horizontal="right" indent="1"/>
    </xf>
    <xf numFmtId="0" fontId="13" fillId="6" borderId="0" xfId="9" applyFont="1" applyFill="1" applyBorder="1" applyAlignment="1">
      <alignment horizontal="right" indent="1"/>
    </xf>
    <xf numFmtId="0" fontId="0" fillId="7" borderId="0" xfId="0" applyFill="1">
      <alignment horizontal="left" vertical="center" wrapText="1" indent="1"/>
    </xf>
    <xf numFmtId="0" fontId="0" fillId="7" borderId="0" xfId="0" applyFill="1" applyBorder="1">
      <alignment horizontal="left" vertical="center" wrapText="1" indent="1"/>
    </xf>
    <xf numFmtId="0" fontId="0" fillId="6" borderId="4" xfId="0" applyFill="1" applyBorder="1">
      <alignment horizontal="left" vertical="center" wrapText="1" indent="1"/>
    </xf>
    <xf numFmtId="0" fontId="0" fillId="6" borderId="5" xfId="0" applyFill="1" applyBorder="1">
      <alignment horizontal="left" vertical="center" wrapText="1" indent="1"/>
    </xf>
    <xf numFmtId="0" fontId="0" fillId="6" borderId="6" xfId="0" applyFill="1" applyBorder="1">
      <alignment horizontal="left" vertical="center" wrapText="1" indent="1"/>
    </xf>
    <xf numFmtId="0" fontId="16" fillId="6" borderId="0" xfId="9" applyFont="1" applyFill="1" applyAlignment="1"/>
    <xf numFmtId="0" fontId="16" fillId="6" borderId="0" xfId="10" applyFont="1" applyFill="1">
      <alignment horizontal="right" indent="1"/>
    </xf>
    <xf numFmtId="0" fontId="16" fillId="6" borderId="0" xfId="9" applyFont="1" applyFill="1" applyAlignment="1">
      <alignment horizontal="right" indent="1"/>
    </xf>
    <xf numFmtId="0" fontId="12" fillId="6" borderId="0" xfId="0" applyFont="1" applyFill="1">
      <alignment horizontal="left" vertical="center" wrapText="1" indent="1"/>
    </xf>
    <xf numFmtId="0" fontId="12" fillId="6" borderId="0" xfId="0" applyFont="1" applyFill="1" applyBorder="1">
      <alignment horizontal="left" vertical="center" wrapText="1" indent="1"/>
    </xf>
    <xf numFmtId="0" fontId="16" fillId="7" borderId="4" xfId="8" applyFont="1" applyFill="1" applyBorder="1">
      <alignment horizontal="left" vertical="center" indent="1"/>
    </xf>
    <xf numFmtId="0" fontId="18" fillId="6" borderId="0" xfId="0" applyFont="1" applyFill="1">
      <alignment horizontal="left" vertical="center" wrapText="1" indent="1"/>
    </xf>
    <xf numFmtId="0" fontId="18" fillId="6" borderId="0" xfId="0" applyFont="1" applyFill="1" applyBorder="1">
      <alignment horizontal="left" vertical="center" wrapText="1" indent="1"/>
    </xf>
    <xf numFmtId="14" fontId="18" fillId="6" borderId="0" xfId="13" applyFont="1" applyFill="1" applyBorder="1" applyAlignment="1">
      <alignment horizontal="left" wrapText="1"/>
    </xf>
    <xf numFmtId="0" fontId="20" fillId="0" borderId="0" xfId="0" applyFont="1">
      <alignment horizontal="left" vertical="center" wrapText="1" indent="1"/>
    </xf>
    <xf numFmtId="0" fontId="0" fillId="6" borderId="0" xfId="0" applyFill="1" applyAlignment="1">
      <alignment horizontal="left" vertical="center" wrapText="1"/>
    </xf>
    <xf numFmtId="0" fontId="0" fillId="6" borderId="0" xfId="0" applyFill="1" applyBorder="1" applyAlignment="1">
      <alignment horizontal="left" vertical="center" wrapText="1"/>
    </xf>
    <xf numFmtId="2" fontId="19" fillId="8" borderId="7" xfId="2" applyFont="1" applyFill="1" applyBorder="1" applyAlignment="1">
      <alignment horizontal="center" vertical="center"/>
    </xf>
    <xf numFmtId="164" fontId="18" fillId="8" borderId="7" xfId="1" applyFont="1" applyFill="1" applyBorder="1" applyAlignment="1">
      <alignment horizontal="center" vertical="center"/>
    </xf>
    <xf numFmtId="0" fontId="18" fillId="8" borderId="7" xfId="0" applyFont="1" applyFill="1" applyBorder="1" applyAlignment="1">
      <alignment horizontal="center" vertical="center" wrapText="1"/>
    </xf>
    <xf numFmtId="166" fontId="18" fillId="8" borderId="7" xfId="4" applyFont="1" applyFill="1" applyBorder="1" applyAlignment="1">
      <alignment horizontal="center" vertical="center"/>
    </xf>
    <xf numFmtId="0" fontId="18" fillId="6" borderId="0" xfId="17" applyFont="1" applyFill="1" applyBorder="1">
      <alignment horizontal="left" wrapText="1"/>
    </xf>
    <xf numFmtId="0" fontId="12" fillId="6" borderId="12" xfId="0" applyFont="1" applyFill="1" applyBorder="1">
      <alignment horizontal="left" vertical="center" wrapText="1" indent="1"/>
    </xf>
    <xf numFmtId="0" fontId="16" fillId="7" borderId="13" xfId="8" applyFont="1" applyFill="1" applyBorder="1">
      <alignment horizontal="left" vertical="center" indent="1"/>
    </xf>
    <xf numFmtId="0" fontId="16" fillId="7" borderId="14" xfId="8" applyFont="1" applyFill="1" applyBorder="1">
      <alignment horizontal="left" vertical="center" indent="1"/>
    </xf>
    <xf numFmtId="0" fontId="7" fillId="6" borderId="0" xfId="17" applyFont="1" applyFill="1" applyBorder="1">
      <alignment horizontal="left" wrapText="1"/>
    </xf>
    <xf numFmtId="14" fontId="7" fillId="6" borderId="0" xfId="13" applyFont="1" applyFill="1" applyBorder="1" applyAlignment="1">
      <alignment horizontal="left" wrapText="1"/>
    </xf>
    <xf numFmtId="0" fontId="10" fillId="6" borderId="0" xfId="6" applyFont="1" applyFill="1" applyAlignment="1">
      <alignment horizontal="left"/>
    </xf>
    <xf numFmtId="165" fontId="15" fillId="6" borderId="2" xfId="14" applyFont="1" applyFill="1" applyBorder="1" applyAlignment="1">
      <alignment horizontal="left" wrapText="1"/>
    </xf>
    <xf numFmtId="0" fontId="17" fillId="6" borderId="3" xfId="15" applyFont="1" applyFill="1" applyBorder="1">
      <alignment horizontal="left" wrapText="1"/>
    </xf>
    <xf numFmtId="0" fontId="15" fillId="6" borderId="10" xfId="17" applyFont="1" applyFill="1" applyBorder="1">
      <alignment horizontal="left" wrapText="1"/>
    </xf>
    <xf numFmtId="0" fontId="15" fillId="6" borderId="11" xfId="17" applyFont="1" applyFill="1" applyBorder="1">
      <alignment horizontal="left" wrapText="1"/>
    </xf>
    <xf numFmtId="14" fontId="15" fillId="6" borderId="10" xfId="13" applyFont="1" applyFill="1" applyBorder="1" applyAlignment="1">
      <alignment horizontal="left" wrapText="1"/>
    </xf>
    <xf numFmtId="0" fontId="15" fillId="6" borderId="10" xfId="17" applyFont="1" applyFill="1" applyBorder="1" applyAlignment="1">
      <alignment horizontal="left" vertical="center" wrapText="1"/>
    </xf>
    <xf numFmtId="0" fontId="18" fillId="6" borderId="10" xfId="17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5" fillId="6" borderId="15" xfId="18" applyFont="1" applyFill="1" applyBorder="1" applyAlignment="1">
      <alignment horizontal="left" vertical="center"/>
    </xf>
    <xf numFmtId="0" fontId="16" fillId="6" borderId="15" xfId="18" applyFont="1" applyFill="1" applyBorder="1">
      <alignment vertical="center"/>
    </xf>
    <xf numFmtId="0" fontId="16" fillId="7" borderId="17" xfId="0" applyFont="1" applyFill="1" applyBorder="1" applyAlignment="1">
      <alignment horizontal="left" vertical="center" indent="3"/>
    </xf>
    <xf numFmtId="0" fontId="16" fillId="7" borderId="17" xfId="0" applyFont="1" applyFill="1" applyBorder="1" applyAlignment="1">
      <alignment horizontal="center" vertical="center"/>
    </xf>
    <xf numFmtId="0" fontId="16" fillId="7" borderId="18" xfId="0" applyFont="1" applyFill="1" applyBorder="1" applyAlignment="1">
      <alignment horizontal="center" vertical="center"/>
    </xf>
    <xf numFmtId="0" fontId="16" fillId="7" borderId="17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21" fillId="8" borderId="17" xfId="0" applyFont="1" applyFill="1" applyBorder="1" applyAlignment="1">
      <alignment horizontal="center" vertical="center" wrapText="1"/>
    </xf>
    <xf numFmtId="0" fontId="12" fillId="8" borderId="20" xfId="0" applyFont="1" applyFill="1" applyBorder="1" applyAlignment="1">
      <alignment horizontal="center" vertical="center" wrapText="1"/>
    </xf>
    <xf numFmtId="14" fontId="12" fillId="5" borderId="21" xfId="13" applyNumberFormat="1" applyFont="1" applyFill="1" applyBorder="1" applyAlignment="1">
      <alignment horizontal="center" vertical="center"/>
    </xf>
    <xf numFmtId="2" fontId="18" fillId="5" borderId="22" xfId="2" applyNumberFormat="1" applyFont="1" applyFill="1" applyBorder="1" applyAlignment="1">
      <alignment horizontal="center" vertical="center"/>
    </xf>
    <xf numFmtId="2" fontId="18" fillId="5" borderId="9" xfId="2" applyNumberFormat="1" applyFont="1" applyFill="1" applyBorder="1" applyAlignment="1">
      <alignment horizontal="center" vertical="center"/>
    </xf>
    <xf numFmtId="0" fontId="21" fillId="8" borderId="8" xfId="0" applyFont="1" applyFill="1" applyBorder="1" applyAlignment="1">
      <alignment horizontal="center" vertical="center" wrapText="1"/>
    </xf>
    <xf numFmtId="0" fontId="12" fillId="8" borderId="23" xfId="0" applyFont="1" applyFill="1" applyBorder="1" applyAlignment="1">
      <alignment horizontal="center" vertical="center" wrapText="1"/>
    </xf>
    <xf numFmtId="14" fontId="12" fillId="5" borderId="24" xfId="13" applyNumberFormat="1" applyFont="1" applyFill="1" applyBorder="1" applyAlignment="1">
      <alignment horizontal="center" vertical="center"/>
    </xf>
    <xf numFmtId="2" fontId="18" fillId="5" borderId="25" xfId="2" applyNumberFormat="1" applyFont="1" applyFill="1" applyBorder="1" applyAlignment="1">
      <alignment horizontal="center" vertical="center"/>
    </xf>
    <xf numFmtId="2" fontId="18" fillId="5" borderId="16" xfId="2" applyNumberFormat="1" applyFont="1" applyFill="1" applyBorder="1" applyAlignment="1">
      <alignment horizontal="center" vertical="center"/>
    </xf>
  </cellXfs>
  <cellStyles count="19">
    <cellStyle name="20% - Accent1" xfId="12" builtinId="30" customBuiltin="1"/>
    <cellStyle name="Comma" xfId="2" builtinId="3" customBuiltin="1"/>
    <cellStyle name="Comma [0]" xfId="3" builtinId="6" customBuiltin="1"/>
    <cellStyle name="Currency" xfId="1" builtinId="4" customBuiltin="1"/>
    <cellStyle name="Currency [0]" xfId="4" builtinId="7" customBuiltin="1"/>
    <cellStyle name="Date" xfId="13" xr:uid="{00000000-0005-0000-0000-000005000000}"/>
    <cellStyle name="Explanatory Text" xfId="18" builtinId="53" customBuiltin="1"/>
    <cellStyle name="Followed Hyperlink" xfId="16" builtinId="9" customBuiltin="1"/>
    <cellStyle name="Heading 1" xfId="7" builtinId="16" customBuiltin="1"/>
    <cellStyle name="Heading 2" xfId="8" builtinId="17" customBuiltin="1"/>
    <cellStyle name="Heading 3" xfId="9" builtinId="18" customBuiltin="1"/>
    <cellStyle name="Heading 4" xfId="10" builtinId="19" customBuiltin="1"/>
    <cellStyle name="Hyperlink" xfId="15" builtinId="8" customBuiltin="1"/>
    <cellStyle name="Input" xfId="17" builtinId="20" customBuiltin="1"/>
    <cellStyle name="Normal" xfId="0" builtinId="0" customBuiltin="1"/>
    <cellStyle name="Percent" xfId="5" builtinId="5" customBuiltin="1"/>
    <cellStyle name="Phone" xfId="14" xr:uid="{00000000-0005-0000-0000-000010000000}"/>
    <cellStyle name="Title" xfId="6" builtinId="15" customBuiltin="1"/>
    <cellStyle name="Total" xfId="11" builtinId="25" customBuiltin="1"/>
  </cellStyles>
  <dxfs count="4">
    <dxf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0.24994659260841701"/>
        </patternFill>
      </fill>
    </dxf>
    <dxf>
      <font>
        <b/>
        <i val="0"/>
      </font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Weekly time sheet" defaultPivotStyle="PivotStyleLight16">
    <tableStyle name="Weekly time sheet" pivot="0" count="4" xr9:uid="{00000000-0011-0000-FFFF-FFFF00000000}">
      <tableStyleElement type="wholeTable" dxfId="3"/>
      <tableStyleElement type="headerRow" dxfId="2"/>
      <tableStyleElement type="firstColumn" dxfId="1"/>
      <tableStyleElement type="lastColumn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6896CE"/>
      <rgbColor rgb="00FFFF00"/>
      <rgbColor rgb="00FF00FF"/>
      <rgbColor rgb="0000FFFF"/>
      <rgbColor rgb="00800000"/>
      <rgbColor rgb="00547D92"/>
      <rgbColor rgb="00C2D5E0"/>
      <rgbColor rgb="0037525F"/>
      <rgbColor rgb="00BCBCBC"/>
      <rgbColor rgb="00008080"/>
      <rgbColor rgb="00E0E0E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FEFCF2"/>
      <rgbColor rgb="00CCFFCC"/>
      <rgbColor rgb="00FFE7BD"/>
      <rgbColor rgb="00FCFAF2"/>
      <rgbColor rgb="00FF99CC"/>
      <rgbColor rgb="00EAEAEA"/>
      <rgbColor rgb="00FDF7DF"/>
      <rgbColor rgb="003366FF"/>
      <rgbColor rgb="0033CCCC"/>
      <rgbColor rgb="0099CC00"/>
      <rgbColor rgb="00FFCC00"/>
      <rgbColor rgb="00FF9900"/>
      <rgbColor rgb="00FF6600"/>
      <rgbColor rgb="00FBF8EF"/>
      <rgbColor rgb="00CFCFCF"/>
      <rgbColor rgb="00315D71"/>
      <rgbColor rgb="00339966"/>
      <rgbColor rgb="00739ED3"/>
      <rgbColor rgb="00ECF5D7"/>
      <rgbColor rgb="00993300"/>
      <rgbColor rgb="00993366"/>
      <rgbColor rgb="00F1F6F9"/>
      <rgbColor rgb="00333333"/>
    </indexedColors>
    <mruColors>
      <color rgb="FFFFFFCC"/>
      <color rgb="FFAE5D37"/>
      <color rgb="FFDCA990"/>
      <color rgb="FFEACBBC"/>
      <color rgb="FFEEF3F8"/>
      <color rgb="FFDCE6F1"/>
      <color rgb="FFD0A8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Custom 53">
      <a:dk1>
        <a:sysClr val="windowText" lastClr="000000"/>
      </a:dk1>
      <a:lt1>
        <a:sysClr val="window" lastClr="FFFFFF"/>
      </a:lt1>
      <a:dk2>
        <a:srgbClr val="EED878"/>
      </a:dk2>
      <a:lt2>
        <a:srgbClr val="E7E6E6"/>
      </a:lt2>
      <a:accent1>
        <a:srgbClr val="4F81BD"/>
      </a:accent1>
      <a:accent2>
        <a:srgbClr val="C0504D"/>
      </a:accent2>
      <a:accent3>
        <a:srgbClr val="9E6DED"/>
      </a:accent3>
      <a:accent4>
        <a:srgbClr val="92D050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entury Gothic">
      <a:majorFont>
        <a:latin typeface="Century Gothic" panose="020F03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entury Gothic" panose="020F03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79998168889431442"/>
    <pageSetUpPr fitToPage="1"/>
  </sheetPr>
  <dimension ref="A1:M26"/>
  <sheetViews>
    <sheetView showGridLines="0" showZeros="0" tabSelected="1" zoomScaleNormal="100" workbookViewId="0">
      <selection activeCell="F11" sqref="F11"/>
    </sheetView>
  </sheetViews>
  <sheetFormatPr defaultColWidth="9" defaultRowHeight="30" customHeight="1" x14ac:dyDescent="0.25"/>
  <cols>
    <col min="1" max="1" width="5.5" customWidth="1"/>
    <col min="2" max="2" width="11.3984375" customWidth="1"/>
    <col min="3" max="3" width="2.5" style="3" customWidth="1"/>
    <col min="4" max="9" width="20.5" customWidth="1"/>
    <col min="10" max="10" width="5.5" customWidth="1"/>
  </cols>
  <sheetData>
    <row r="1" spans="1:13" ht="30" customHeight="1" x14ac:dyDescent="0.25">
      <c r="A1" s="6"/>
      <c r="B1" s="18"/>
      <c r="C1" s="19"/>
      <c r="D1" s="18"/>
      <c r="E1" s="18"/>
      <c r="F1" s="18"/>
      <c r="G1" s="18"/>
      <c r="H1" s="18"/>
      <c r="I1" s="18"/>
      <c r="J1" s="4"/>
    </row>
    <row r="2" spans="1:13" s="2" customFormat="1" ht="15" customHeight="1" x14ac:dyDescent="0.25">
      <c r="A2" s="4"/>
      <c r="B2" s="4"/>
      <c r="C2" s="5"/>
      <c r="D2" s="4"/>
      <c r="E2" s="4"/>
      <c r="F2" s="4"/>
      <c r="G2" s="4"/>
      <c r="H2" s="4"/>
      <c r="I2" s="4"/>
      <c r="J2" s="4"/>
    </row>
    <row r="3" spans="1:13" s="1" customFormat="1" ht="45" customHeight="1" x14ac:dyDescent="0.8">
      <c r="A3" s="4"/>
      <c r="B3" s="45" t="s">
        <v>3</v>
      </c>
      <c r="C3" s="45"/>
      <c r="D3" s="45"/>
      <c r="E3" s="45"/>
      <c r="F3" s="45"/>
      <c r="G3" s="45"/>
      <c r="H3" s="43"/>
      <c r="I3" s="43"/>
      <c r="J3" s="6"/>
    </row>
    <row r="4" spans="1:13" ht="30" customHeight="1" x14ac:dyDescent="0.25">
      <c r="A4" s="4"/>
      <c r="B4" s="7" t="s">
        <v>14</v>
      </c>
      <c r="C4" s="8"/>
      <c r="D4" s="9"/>
      <c r="E4" s="10"/>
      <c r="F4" s="10"/>
      <c r="G4" s="11"/>
      <c r="H4" s="43"/>
      <c r="I4" s="43"/>
      <c r="J4" s="4"/>
    </row>
    <row r="5" spans="1:13" ht="15" customHeight="1" x14ac:dyDescent="0.35">
      <c r="A5" s="4"/>
      <c r="B5" s="12"/>
      <c r="C5" s="13"/>
      <c r="D5" s="10"/>
      <c r="E5" s="10"/>
      <c r="F5" s="10"/>
      <c r="G5" s="11"/>
      <c r="H5" s="44"/>
      <c r="I5" s="44"/>
      <c r="J5" s="4"/>
    </row>
    <row r="6" spans="1:13" ht="30" customHeight="1" x14ac:dyDescent="0.25">
      <c r="A6" s="4"/>
      <c r="B6" s="23" t="s">
        <v>7</v>
      </c>
      <c r="C6" s="14"/>
      <c r="D6" s="48"/>
      <c r="E6" s="48"/>
      <c r="F6" s="15"/>
      <c r="G6" s="24" t="s">
        <v>20</v>
      </c>
      <c r="H6" s="46"/>
      <c r="I6" s="46"/>
      <c r="J6" s="4"/>
    </row>
    <row r="7" spans="1:13" ht="30" customHeight="1" x14ac:dyDescent="0.25">
      <c r="A7" s="4"/>
      <c r="B7" s="23" t="s">
        <v>6</v>
      </c>
      <c r="C7" s="14"/>
      <c r="D7" s="49" t="s">
        <v>15</v>
      </c>
      <c r="E7" s="49"/>
      <c r="F7" s="15"/>
      <c r="G7" s="24" t="s">
        <v>4</v>
      </c>
      <c r="H7" s="47"/>
      <c r="I7" s="47"/>
      <c r="J7" s="4"/>
    </row>
    <row r="8" spans="1:13" ht="30" customHeight="1" x14ac:dyDescent="0.25">
      <c r="A8" s="4"/>
      <c r="B8" s="16"/>
      <c r="C8" s="17"/>
      <c r="D8" s="44"/>
      <c r="E8" s="44"/>
      <c r="F8" s="15"/>
      <c r="G8" s="25" t="s">
        <v>5</v>
      </c>
      <c r="H8" s="50"/>
      <c r="I8" s="50"/>
      <c r="J8" s="4"/>
    </row>
    <row r="9" spans="1:13" ht="30" customHeight="1" x14ac:dyDescent="0.25">
      <c r="A9" s="4"/>
      <c r="B9" s="4"/>
      <c r="C9" s="5"/>
      <c r="D9" s="21"/>
      <c r="E9" s="4"/>
      <c r="F9" s="21"/>
      <c r="G9" s="21"/>
      <c r="H9" s="21"/>
      <c r="I9" s="4"/>
      <c r="J9" s="4"/>
    </row>
    <row r="10" spans="1:13" ht="30" customHeight="1" x14ac:dyDescent="0.25">
      <c r="A10" s="20"/>
      <c r="B10" s="56" t="s">
        <v>0</v>
      </c>
      <c r="C10" s="57" t="s">
        <v>8</v>
      </c>
      <c r="D10" s="58" t="s">
        <v>1</v>
      </c>
      <c r="E10" s="59" t="s">
        <v>16</v>
      </c>
      <c r="F10" s="60" t="s">
        <v>17</v>
      </c>
      <c r="G10" s="60" t="s">
        <v>18</v>
      </c>
      <c r="H10" s="60" t="s">
        <v>19</v>
      </c>
      <c r="I10" s="61" t="s">
        <v>2</v>
      </c>
      <c r="J10" s="22"/>
    </row>
    <row r="11" spans="1:13" ht="30" customHeight="1" x14ac:dyDescent="0.25">
      <c r="A11" s="4"/>
      <c r="B11" s="62" t="str">
        <f>IFERROR(TEXT('Weekly Time Record'!$D11,"aaaa"), "")</f>
        <v/>
      </c>
      <c r="C11" s="63"/>
      <c r="D11" s="64" t="str">
        <f>IFERROR(IF($H$8=0,"",$H$8-6), "")</f>
        <v/>
      </c>
      <c r="E11" s="65"/>
      <c r="F11" s="65"/>
      <c r="G11" s="65"/>
      <c r="H11" s="65"/>
      <c r="I11" s="66"/>
      <c r="J11" s="4"/>
    </row>
    <row r="12" spans="1:13" ht="30" customHeight="1" x14ac:dyDescent="0.25">
      <c r="A12" s="4"/>
      <c r="B12" s="62" t="str">
        <f>IFERROR(TEXT('Weekly Time Record'!$D12,"aaaa"), "")</f>
        <v/>
      </c>
      <c r="C12" s="63"/>
      <c r="D12" s="64" t="str">
        <f t="shared" ref="D12" si="0">IFERROR(IF($H$8=0,"",$H$8-5), "")</f>
        <v/>
      </c>
      <c r="E12" s="65"/>
      <c r="F12" s="65"/>
      <c r="G12" s="65"/>
      <c r="H12" s="65"/>
      <c r="I12" s="66">
        <f>IFERROR(SUM(E12:H12), "")</f>
        <v>0</v>
      </c>
      <c r="J12" s="4"/>
      <c r="M12" s="32"/>
    </row>
    <row r="13" spans="1:13" ht="30" customHeight="1" x14ac:dyDescent="0.25">
      <c r="A13" s="4"/>
      <c r="B13" s="62" t="str">
        <f>IFERROR(TEXT('Weekly Time Record'!$D13,"aaaa"), "")</f>
        <v/>
      </c>
      <c r="C13" s="63"/>
      <c r="D13" s="64" t="str">
        <f>IFERROR(IF($H$8=0,"",$H$8-4), "")</f>
        <v/>
      </c>
      <c r="E13" s="65"/>
      <c r="F13" s="65"/>
      <c r="G13" s="65"/>
      <c r="H13" s="65"/>
      <c r="I13" s="66">
        <f>IFERROR(SUM(E13:H13), "")</f>
        <v>0</v>
      </c>
      <c r="J13" s="4"/>
    </row>
    <row r="14" spans="1:13" ht="30" customHeight="1" x14ac:dyDescent="0.25">
      <c r="A14" s="4"/>
      <c r="B14" s="62" t="str">
        <f>IFERROR(TEXT('Weekly Time Record'!$D14,"aaaa"), "")</f>
        <v/>
      </c>
      <c r="C14" s="63"/>
      <c r="D14" s="64" t="str">
        <f>IFERROR(IF($H$8=0,"",$H$8-3), "")</f>
        <v/>
      </c>
      <c r="E14" s="65"/>
      <c r="F14" s="65"/>
      <c r="G14" s="65"/>
      <c r="H14" s="65"/>
      <c r="I14" s="66">
        <f>IFERROR(SUM(E14:H14), "")</f>
        <v>0</v>
      </c>
      <c r="J14" s="4"/>
    </row>
    <row r="15" spans="1:13" ht="30" customHeight="1" x14ac:dyDescent="0.25">
      <c r="A15" s="4"/>
      <c r="B15" s="62" t="str">
        <f>IFERROR(TEXT('Weekly Time Record'!$D15,"aaaa"), "")</f>
        <v/>
      </c>
      <c r="C15" s="63"/>
      <c r="D15" s="64" t="str">
        <f>IFERROR(IF($H$8=0,"",$H$8-2), "")</f>
        <v/>
      </c>
      <c r="E15" s="65"/>
      <c r="F15" s="65"/>
      <c r="G15" s="65"/>
      <c r="H15" s="65"/>
      <c r="I15" s="66">
        <f>IFERROR(SUM(E15:H15), "")</f>
        <v>0</v>
      </c>
      <c r="J15" s="4"/>
    </row>
    <row r="16" spans="1:13" ht="30" customHeight="1" x14ac:dyDescent="0.25">
      <c r="A16" s="4"/>
      <c r="B16" s="62" t="str">
        <f>IFERROR(TEXT('Weekly Time Record'!$D16,"aaaa"), "")</f>
        <v/>
      </c>
      <c r="C16" s="63"/>
      <c r="D16" s="64" t="str">
        <f>IFERROR(IF($H$8=0,"",$H$8-1), "")</f>
        <v/>
      </c>
      <c r="E16" s="65"/>
      <c r="F16" s="65"/>
      <c r="G16" s="65"/>
      <c r="H16" s="65"/>
      <c r="I16" s="66">
        <f t="shared" ref="I16:I17" si="1">IFERROR(SUM(E16:H16), "")</f>
        <v>0</v>
      </c>
      <c r="J16" s="4"/>
    </row>
    <row r="17" spans="1:13" ht="30" customHeight="1" x14ac:dyDescent="0.25">
      <c r="A17" s="4"/>
      <c r="B17" s="67" t="str">
        <f>IFERROR(TEXT('Weekly Time Record'!$D17,"aaaa"), "")</f>
        <v/>
      </c>
      <c r="C17" s="68"/>
      <c r="D17" s="69" t="str">
        <f>IFERROR(IF($H$8=0,"",$H$8), "")</f>
        <v/>
      </c>
      <c r="E17" s="70"/>
      <c r="F17" s="70"/>
      <c r="G17" s="70"/>
      <c r="H17" s="70"/>
      <c r="I17" s="71">
        <f t="shared" si="1"/>
        <v>0</v>
      </c>
      <c r="J17" s="4"/>
    </row>
    <row r="18" spans="1:13" ht="30" customHeight="1" x14ac:dyDescent="0.25">
      <c r="A18" s="4"/>
      <c r="B18" s="26"/>
      <c r="C18" s="40"/>
      <c r="D18" s="28" t="s">
        <v>9</v>
      </c>
      <c r="E18" s="35">
        <f>IFERROR(SUM('Weekly Time Record'!$E$11:$E$17), "")</f>
        <v>0</v>
      </c>
      <c r="F18" s="35">
        <f>IFERROR(SUM('Weekly Time Record'!$F$11:$F$17), "")</f>
        <v>0</v>
      </c>
      <c r="G18" s="35">
        <f>IFERROR(SUM('Weekly Time Record'!$G$11:$G$17), "")</f>
        <v>0</v>
      </c>
      <c r="H18" s="35">
        <f>IFERROR(SUM('Weekly Time Record'!$H$11:$H$17), "")</f>
        <v>0</v>
      </c>
      <c r="I18" s="35">
        <f>IFERROR(SUM('Weekly Time Record'!$I$11:$I$17), "")</f>
        <v>0</v>
      </c>
      <c r="J18" s="4"/>
    </row>
    <row r="19" spans="1:13" ht="30" customHeight="1" x14ac:dyDescent="0.25">
      <c r="A19" s="4"/>
      <c r="B19" s="26"/>
      <c r="C19" s="27"/>
      <c r="D19" s="41" t="s">
        <v>10</v>
      </c>
      <c r="E19" s="36"/>
      <c r="F19" s="36"/>
      <c r="G19" s="36"/>
      <c r="H19" s="36"/>
      <c r="I19" s="37"/>
      <c r="J19" s="4"/>
    </row>
    <row r="20" spans="1:13" ht="30" customHeight="1" x14ac:dyDescent="0.25">
      <c r="A20" s="4"/>
      <c r="B20" s="26"/>
      <c r="C20" s="27"/>
      <c r="D20" s="42" t="s">
        <v>11</v>
      </c>
      <c r="E20" s="38">
        <f>IFERROR(E18*E19, "")</f>
        <v>0</v>
      </c>
      <c r="F20" s="38">
        <f t="shared" ref="F20:I20" si="2">IFERROR(F18*F19, "")</f>
        <v>0</v>
      </c>
      <c r="G20" s="38">
        <f t="shared" si="2"/>
        <v>0</v>
      </c>
      <c r="H20" s="38">
        <f t="shared" si="2"/>
        <v>0</v>
      </c>
      <c r="I20" s="38">
        <f t="shared" si="2"/>
        <v>0</v>
      </c>
      <c r="J20" s="4"/>
    </row>
    <row r="21" spans="1:13" ht="30" customHeight="1" x14ac:dyDescent="0.25">
      <c r="A21" s="4"/>
      <c r="B21" s="29"/>
      <c r="C21" s="30"/>
      <c r="D21" s="29"/>
      <c r="E21" s="39"/>
      <c r="F21" s="39"/>
      <c r="G21" s="39"/>
      <c r="H21" s="39"/>
      <c r="I21" s="31"/>
      <c r="J21" s="4"/>
    </row>
    <row r="22" spans="1:13" ht="30" customHeight="1" x14ac:dyDescent="0.25">
      <c r="A22" s="33"/>
      <c r="B22" s="53"/>
      <c r="C22" s="53"/>
      <c r="D22" s="53"/>
      <c r="E22" s="53"/>
      <c r="F22" s="53"/>
      <c r="G22" s="53"/>
      <c r="H22" s="52"/>
      <c r="I22" s="52"/>
      <c r="J22" s="33"/>
    </row>
    <row r="23" spans="1:13" ht="30" customHeight="1" x14ac:dyDescent="0.25">
      <c r="A23" s="33"/>
      <c r="B23" s="55" t="s">
        <v>12</v>
      </c>
      <c r="C23" s="55"/>
      <c r="D23" s="55"/>
      <c r="E23" s="55"/>
      <c r="F23" s="55"/>
      <c r="G23" s="55"/>
      <c r="H23" s="54" t="s">
        <v>1</v>
      </c>
      <c r="I23" s="54"/>
      <c r="J23" s="33"/>
      <c r="M23" s="3"/>
    </row>
    <row r="24" spans="1:13" ht="30" customHeight="1" x14ac:dyDescent="0.25">
      <c r="A24" s="33"/>
      <c r="B24" s="53"/>
      <c r="C24" s="53"/>
      <c r="D24" s="53"/>
      <c r="E24" s="53"/>
      <c r="F24" s="53"/>
      <c r="G24" s="53"/>
      <c r="H24" s="51"/>
      <c r="I24" s="51"/>
      <c r="J24" s="33"/>
    </row>
    <row r="25" spans="1:13" ht="30" customHeight="1" x14ac:dyDescent="0.25">
      <c r="A25" s="33"/>
      <c r="B25" s="55" t="s">
        <v>13</v>
      </c>
      <c r="C25" s="55"/>
      <c r="D25" s="55"/>
      <c r="E25" s="55"/>
      <c r="F25" s="55"/>
      <c r="G25" s="55"/>
      <c r="H25" s="54" t="s">
        <v>1</v>
      </c>
      <c r="I25" s="54"/>
      <c r="J25" s="33"/>
    </row>
    <row r="26" spans="1:13" ht="30" customHeight="1" x14ac:dyDescent="0.25">
      <c r="A26" s="33"/>
      <c r="B26" s="33"/>
      <c r="C26" s="34"/>
      <c r="D26" s="33"/>
      <c r="E26" s="33"/>
      <c r="F26" s="33"/>
      <c r="G26" s="33"/>
      <c r="H26" s="33"/>
      <c r="I26" s="33"/>
      <c r="J26" s="33"/>
    </row>
  </sheetData>
  <mergeCells count="18">
    <mergeCell ref="H24:I24"/>
    <mergeCell ref="H22:I22"/>
    <mergeCell ref="B22:G22"/>
    <mergeCell ref="B24:G24"/>
    <mergeCell ref="H25:I25"/>
    <mergeCell ref="B25:G25"/>
    <mergeCell ref="B23:G23"/>
    <mergeCell ref="H23:I23"/>
    <mergeCell ref="H3:I3"/>
    <mergeCell ref="H4:I4"/>
    <mergeCell ref="H5:I5"/>
    <mergeCell ref="B3:G3"/>
    <mergeCell ref="D8:E8"/>
    <mergeCell ref="H6:I6"/>
    <mergeCell ref="H7:I7"/>
    <mergeCell ref="D6:E6"/>
    <mergeCell ref="D7:E7"/>
    <mergeCell ref="H8:I8"/>
  </mergeCells>
  <phoneticPr fontId="0" type="noConversion"/>
  <dataValidations count="27">
    <dataValidation allowBlank="1" showInputMessage="1" showErrorMessage="1" prompt="Create a weekly time sheet in this worksheet. Total hours and total pay are automatically calculated at end of the timesheet table." sqref="A1" xr:uid="{00000000-0002-0000-0000-000000000000}"/>
    <dataValidation allowBlank="1" showInputMessage="1" showErrorMessage="1" prompt="Title of this worksheet is in this cell" sqref="B3:C3" xr:uid="{00000000-0002-0000-0000-000001000000}"/>
    <dataValidation allowBlank="1" showErrorMessage="1" sqref="G5:I5 B5 C4:C5" xr:uid="{00000000-0002-0000-0000-000002000000}"/>
    <dataValidation allowBlank="1" showInputMessage="1" showErrorMessage="1" prompt="Enter Manager name in this cell" sqref="D7:E7" xr:uid="{00000000-0002-0000-0000-000005000000}"/>
    <dataValidation allowBlank="1" showInputMessage="1" showErrorMessage="1" prompt="Enter Employee name in this cell" sqref="D6:E6" xr:uid="{00000000-0002-0000-0000-000006000000}"/>
    <dataValidation allowBlank="1" showInputMessage="1" showErrorMessage="1" prompt="Enter Employee email address in this cell" sqref="H7:I7" xr:uid="{00000000-0002-0000-0000-000007000000}"/>
    <dataValidation allowBlank="1" showInputMessage="1" showErrorMessage="1" prompt="Enter Employee phone number in cell at right" sqref="G6" xr:uid="{00000000-0002-0000-0000-000008000000}"/>
    <dataValidation allowBlank="1" showInputMessage="1" showErrorMessage="1" prompt="Enter Employee phone number in this cell" sqref="H6:I6" xr:uid="{00000000-0002-0000-0000-000009000000}"/>
    <dataValidation allowBlank="1" showInputMessage="1" showErrorMessage="1" prompt="Enter Employee email address in cell at right" sqref="G7" xr:uid="{00000000-0002-0000-0000-00000A000000}"/>
    <dataValidation allowBlank="1" showInputMessage="1" showErrorMessage="1" prompt="Enter Regular Hours in this column under this heading" sqref="E10" xr:uid="{00000000-0002-0000-0000-00000B000000}"/>
    <dataValidation allowBlank="1" showInputMessage="1" showErrorMessage="1" prompt="Date is automatically updated in this column under this heading based on Week ending date in cell H8" sqref="D10" xr:uid="{00000000-0002-0000-0000-00000C000000}"/>
    <dataValidation allowBlank="1" showInputMessage="1" showErrorMessage="1" prompt="Enter Overtime Hours in this column under this heading" sqref="F10" xr:uid="{00000000-0002-0000-0000-00000D000000}"/>
    <dataValidation allowBlank="1" showInputMessage="1" showErrorMessage="1" prompt="Enter Sick Hours in this column under this heading" sqref="G10" xr:uid="{00000000-0002-0000-0000-00000E000000}"/>
    <dataValidation allowBlank="1" showInputMessage="1" showErrorMessage="1" prompt="Enter Vacation Hours in this column under this heading" sqref="H10" xr:uid="{00000000-0002-0000-0000-00000F000000}"/>
    <dataValidation allowBlank="1" showInputMessage="1" showErrorMessage="1" prompt="Total Hours for each weekday are automatically calculated in this column under this heading" sqref="I10" xr:uid="{00000000-0002-0000-0000-000010000000}"/>
    <dataValidation allowBlank="1" showInputMessage="1" showErrorMessage="1" prompt="Total hours for the entire period are automatically calculated in cells at right" sqref="D18" xr:uid="{00000000-0002-0000-0000-000011000000}"/>
    <dataValidation allowBlank="1" showInputMessage="1" showErrorMessage="1" prompt="Enter Rate per hour in cells at right" sqref="D19" xr:uid="{00000000-0002-0000-0000-000012000000}"/>
    <dataValidation allowBlank="1" showInputMessage="1" showErrorMessage="1" prompt="Total pay is automatically calculated in cells at right" sqref="D20" xr:uid="{00000000-0002-0000-0000-000013000000}"/>
    <dataValidation allowBlank="1" showInputMessage="1" showErrorMessage="1" prompt="Enter Employee signature in this cell" sqref="B22" xr:uid="{00000000-0002-0000-0000-000014000000}"/>
    <dataValidation allowBlank="1" showInputMessage="1" showErrorMessage="1" prompt="Enter Manager signature in this cell" sqref="B24" xr:uid="{00000000-0002-0000-0000-000015000000}"/>
    <dataValidation allowBlank="1" showInputMessage="1" showErrorMessage="1" prompt="Enter Date in this cell" sqref="H22 H24" xr:uid="{00000000-0002-0000-0000-000016000000}"/>
    <dataValidation allowBlank="1" showInputMessage="1" showErrorMessage="1" prompt="Enter Week ending date in cell at right" sqref="G8" xr:uid="{00000000-0002-0000-0000-000017000000}"/>
    <dataValidation allowBlank="1" showInputMessage="1" showErrorMessage="1" prompt="Enter Week ending date in this cell" sqref="H8" xr:uid="{00000000-0002-0000-0000-000018000000}"/>
    <dataValidation allowBlank="1" showInputMessage="1" showErrorMessage="1" prompt="Weekdays are automatically updated in this column under this heading" sqref="B10" xr:uid="{00000000-0002-0000-0000-000019000000}"/>
    <dataValidation allowBlank="1" showInputMessage="1" showErrorMessage="1" prompt="Enter Manager name in cell D7" sqref="B7" xr:uid="{DF0CE113-5E34-4F19-A8EE-D4F6A27EF12A}"/>
    <dataValidation allowBlank="1" showInputMessage="1" showErrorMessage="1" prompt="Enter Employee name in cell D6" sqref="B6" xr:uid="{4444AC00-DF16-4330-B6DB-22B5BE8D2533}"/>
    <dataValidation allowBlank="1" showInputMessage="1" showErrorMessage="1" prompt="Enter company name in this cell. Enter employee details in cells below and Week ending date in cell H8." sqref="B4" xr:uid="{B48B72AB-5C50-4D3C-9C23-51D53004103D}"/>
  </dataValidations>
  <printOptions horizontalCentered="1"/>
  <pageMargins left="0.75" right="0.75" top="0.5" bottom="0.5" header="0.5" footer="0.5"/>
  <pageSetup scale="67" fitToHeight="0" orientation="portrait" r:id="rId1"/>
  <headerFooter differentFirst="1">
    <oddFooter>Page &amp;P of &amp;N</oddFooter>
  </headerFooter>
  <ignoredErrors>
    <ignoredError sqref="I12:I17" emptyCellReference="1"/>
    <ignoredError sqref="D11:D17" calculatedColumn="1"/>
  </ignoredErrors>
</worksheet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TM16400640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Weekly Time Record</vt:lpstr>
      <vt:lpstr>'Weekly Time Record'!Print_Titles</vt:lpstr>
      <vt:lpstr>RowTitleRegion1..C5</vt:lpstr>
      <vt:lpstr>RowTitleRegion2..G4</vt:lpstr>
      <vt:lpstr>RowTitleRegion3..H15</vt:lpstr>
      <vt:lpstr>RowTitleRegion4..G16</vt:lpstr>
      <vt:lpstr>RowTitleRegion5..H17</vt:lpstr>
      <vt:lpstr>Title1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2023-02-09T22:07:54Z</dcterms:created>
  <dcterms:modified xsi:type="dcterms:W3CDTF">2026-05-09T18:25:52Z</dcterms:modified>
</cp:coreProperties>
</file>